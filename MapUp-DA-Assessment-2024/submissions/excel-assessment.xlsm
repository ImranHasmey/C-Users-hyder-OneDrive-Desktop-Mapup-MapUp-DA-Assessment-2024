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e431ddfa3b02f41/Desktop/Mapup/MapUp-DA-Assessment-2024/"/>
    </mc:Choice>
  </mc:AlternateContent>
  <xr:revisionPtr revIDLastSave="10" documentId="13_ncr:1_{DCFAE75F-9014-204F-9FF0-0E1BF7430B80}" xr6:coauthVersionLast="47" xr6:coauthVersionMax="47" xr10:uidLastSave="{F810E26A-0971-4A20-8454-5463D999DEE5}"/>
  <bookViews>
    <workbookView xWindow="-110" yWindow="-110" windowWidth="19420" windowHeight="1030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F17" i="19"/>
  <c r="C22" i="19" a="1"/>
  <c r="C22" i="19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C5" i="15"/>
  <c r="H4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<sst xmlns="http://schemas.openxmlformats.org/spreadsheetml/2006/main" count="400" uniqueCount="179">
  <si>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</si>
  <si>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</si>
  <si>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</si>
  <si>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</si>
  <si>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</si>
  <si>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</si>
  <si>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</si>
  <si>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</si>
  <si>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</si>
  <si>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</si>
  <si>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</si>
  <si>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</si>
  <si>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</si>
  <si>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</si>
  <si>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</si>
  <si>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</si>
  <si>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</si>
  <si>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</si>
  <si>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</si>
  <si>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</si>
  <si>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</si>
  <si>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</si>
  <si>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</si>
  <si>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</si>
  <si>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</si>
  <si>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</si>
  <si>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</si>
  <si>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</si>
  <si>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</si>
  <si>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</si>
  <si>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</si>
  <si>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</si>
  <si>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</si>
  <si>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</si>
  <si>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</si>
  <si>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</si>
  <si>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</si>
  <si>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</si>
  <si>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</si>
  <si>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</si>
  <si>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</si>
  <si>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</si>
  <si>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</si>
  <si>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</si>
  <si>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</si>
  <si>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</si>
  <si>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</si>
  <si>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</si>
  <si>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</si>
  <si>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</si>
  <si>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</si>
  <si>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</si>
  <si>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</si>
  <si>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</si>
  <si>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</si>
  <si>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</si>
  <si>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</si>
  <si>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</si>
  <si>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</si>
  <si>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</si>
  <si>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</si>
  <si>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</si>
  <si>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</si>
  <si>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</si>
  <si>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</si>
  <si>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</si>
  <si>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</si>
  <si>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</si>
  <si>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</si>
  <si>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</si>
  <si>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</si>
  <si>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</si>
  <si>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</si>
  <si>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</si>
  <si>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</si>
  <si>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</si>
  <si>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</si>
  <si>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</si>
  <si>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</si>
  <si>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</si>
  <si>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</si>
  <si>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</si>
  <si>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</si>
  <si>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</si>
  <si>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</si>
  <si>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</si>
  <si>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</si>
  <si>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</si>
  <si>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</si>
  <si>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</si>
  <si>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</si>
  <si>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</si>
  <si>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</si>
  <si>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</si>
  <si>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</si>
  <si>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</si>
  <si>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</si>
  <si>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</si>
  <si>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</si>
  <si>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</si>
  <si>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</si>
  <si>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</si>
  <si>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</si>
  <si>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</si>
  <si>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</si>
  <si>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</si>
  <si>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</si>
  <si>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</si>
  <si>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</si>
  <si>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</si>
  <si>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</si>
  <si>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</si>
  <si>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</si>
  <si>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</si>
  <si>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</si>
  <si>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</si>
  <si>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</si>
  <si>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</si>
  <si>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</si>
  <si>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</si>
  <si>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</si>
  <si>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</si>
  <si>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</si>
  <si>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</si>
  <si>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</si>
  <si>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</si>
  <si>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</si>
  <si>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</si>
  <si>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</si>
  <si>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</si>
  <si>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</si>
  <si>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</si>
  <si>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</si>
  <si>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</si>
  <si>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</si>
  <si>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</si>
  <si>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</si>
  <si>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</si>
  <si>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</si>
  <si>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</si>
  <si>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</si>
  <si>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</si>
  <si>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</si>
  <si>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</si>
  <si>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</si>
  <si>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</si>
  <si>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</si>
  <si>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</si>
  <si>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</si>
  <si>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</si>
  <si>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</si>
  <si>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</si>
  <si>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</si>
  <si>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</si>
  <si>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</si>
  <si>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</si>
  <si>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</si>
  <si>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</si>
  <si>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</si>
  <si>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</si>
  <si>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</si>
  <si>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</si>
  <si>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</si>
  <si>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</si>
  <si>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</si>
  <si>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</si>
  <si>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</si>
  <si>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</si>
  <si>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</si>
  <si>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</si>
  <si>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</si>
  <si>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</si>
  <si>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</si>
  <si>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</si>
  <si>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</si>
  <si>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</si>
  <si>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Virginia Drive</t>
  </si>
  <si>
    <t>St. Rd</t>
  </si>
  <si>
    <t>All 20 values must be substituted with the value '20'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</si>
</sst>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  <xf numFmtId="0" fontId="2" fillId="0" borderId="0" xfId="0" applyFont="1" applyAlignment="1">
      <alignment vertical="center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8">
    <dxf>
      <font>
        <color theme="9"/>
      </font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7"/>
      <tableStyleElement type="headerRow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175</v>
      </c>
      <c r="C4" s="1"/>
    </row>
    <row r="5" spans="1:3" x14ac:dyDescent="0.3">
      <c r="A5" s="2" t="s">
        <v>151</v>
      </c>
    </row>
    <row r="8" spans="1:3" x14ac:dyDescent="0.3">
      <c r="A8" s="2" t="s">
        <v>171</v>
      </c>
    </row>
    <row r="9" spans="1:3" x14ac:dyDescent="0.3">
      <c r="A9" s="35" t="s">
        <v>169</v>
      </c>
      <c r="B9" s="25" t="s">
        <v>167</v>
      </c>
    </row>
    <row r="10" spans="1:3" x14ac:dyDescent="0.3">
      <c r="A10" s="34" t="s">
        <v>170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168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3"/>
  <sheetViews>
    <sheetView zoomScaleNormal="100" workbookViewId="0">
      <pane ySplit="1" topLeftCell="A2" activePane="bottomLeft" state="frozen"/>
      <selection activeCell="C1" sqref="C1"/>
      <selection pane="bottomLeft" activeCell="D29" sqref="D29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5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3" spans="1:24" x14ac:dyDescent="0.35">
      <c r="H43" s="1" t="b">
        <f>Task_1!C5=SUMIF(H2:H40,"&gt;20")</f>
        <v>0</v>
      </c>
    </row>
  </sheetData>
  <conditionalFormatting sqref="A1:A1048576">
    <cfRule type="duplicateValues" dxfId="18" priority="9"/>
  </conditionalFormatting>
  <conditionalFormatting sqref="B1:B1048576">
    <cfRule type="duplicateValues" dxfId="17" priority="8"/>
  </conditionalFormatting>
  <conditionalFormatting sqref="G1:G1048576">
    <cfRule type="cellIs" dxfId="16" priority="7" operator="between">
      <formula>-1</formula>
      <formula>0</formula>
    </cfRule>
    <cfRule type="cellIs" dxfId="15" priority="6" operator="lessThan">
      <formula>0</formula>
    </cfRule>
  </conditionalFormatting>
  <conditionalFormatting sqref="H1:H1048576">
    <cfRule type="cellIs" dxfId="14" priority="5" operator="lessThan">
      <formula>0</formula>
    </cfRule>
    <cfRule type="cellIs" dxfId="13" priority="3" operator="between">
      <formula>-1</formula>
      <formula>-1</formula>
    </cfRule>
  </conditionalFormatting>
  <conditionalFormatting sqref="I1:I1048576">
    <cfRule type="cellIs" dxfId="12" priority="4" operator="lessThan">
      <formula>0</formula>
    </cfRule>
  </conditionalFormatting>
  <conditionalFormatting sqref="I1:W1048576">
    <cfRule type="cellIs" dxfId="2" priority="2" operator="between">
      <formula>0</formula>
      <formula>0</formula>
    </cfRule>
    <cfRule type="cellIs" dxfId="3" priority="1" operator="lessThan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22.19921875" style="1" customWidth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174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>
        <f>SUMIF(H2:H40,"&gt;20")</f>
        <v>0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5" zoomScaleNormal="100" workbookViewId="0">
      <selection activeCell="B30" sqref="B30:F3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163</v>
      </c>
    </row>
    <row r="2" spans="1:7" s="40" customFormat="1" ht="21" x14ac:dyDescent="0.5">
      <c r="B2" s="40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161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x14ac:dyDescent="0.3">
      <c r="A6" s="46" t="s">
        <v>40</v>
      </c>
      <c r="B6" s="46">
        <v>2.7</v>
      </c>
      <c r="C6" s="46">
        <v>7.6</v>
      </c>
      <c r="D6" s="46">
        <v>4.2</v>
      </c>
      <c r="E6" s="46">
        <v>8.9</v>
      </c>
      <c r="F6" s="46">
        <v>4.2</v>
      </c>
    </row>
    <row r="7" spans="1:7" x14ac:dyDescent="0.3">
      <c r="A7" s="46" t="s">
        <v>4</v>
      </c>
      <c r="B7" s="46">
        <v>2.7</v>
      </c>
      <c r="C7" s="46">
        <v>7.6</v>
      </c>
      <c r="D7" s="46">
        <v>4.2</v>
      </c>
      <c r="E7" s="46">
        <v>8.9</v>
      </c>
      <c r="F7" s="46">
        <v>4.2</v>
      </c>
    </row>
    <row r="8" spans="1:7" x14ac:dyDescent="0.3">
      <c r="A8" s="46" t="s">
        <v>7</v>
      </c>
      <c r="B8" s="46">
        <v>3.6</v>
      </c>
      <c r="C8" s="46">
        <v>11.1</v>
      </c>
      <c r="D8" s="46">
        <v>5.8</v>
      </c>
      <c r="E8" s="46">
        <v>12.2</v>
      </c>
      <c r="F8" s="46">
        <v>5.8</v>
      </c>
    </row>
    <row r="9" spans="1:7" x14ac:dyDescent="0.3">
      <c r="A9" s="46" t="s">
        <v>8</v>
      </c>
      <c r="B9" s="46">
        <v>4.9000000000000004</v>
      </c>
      <c r="C9" s="46">
        <v>13.3</v>
      </c>
      <c r="D9" s="46">
        <v>8.1</v>
      </c>
      <c r="E9" s="46">
        <v>17</v>
      </c>
      <c r="F9" s="46">
        <v>8.1</v>
      </c>
    </row>
    <row r="10" spans="1:7" x14ac:dyDescent="0.3">
      <c r="A10" s="46" t="s">
        <v>11</v>
      </c>
      <c r="B10" s="46">
        <v>9.4</v>
      </c>
      <c r="C10" s="46">
        <v>28.3</v>
      </c>
      <c r="D10" s="46">
        <v>16.100000000000001</v>
      </c>
      <c r="E10" s="46">
        <v>32.799999999999997</v>
      </c>
      <c r="F10" s="46">
        <v>16.100000000000001</v>
      </c>
    </row>
    <row r="11" spans="1:7" x14ac:dyDescent="0.3">
      <c r="A11" s="46" t="s">
        <v>12</v>
      </c>
      <c r="B11" s="46">
        <v>11.6</v>
      </c>
      <c r="C11" s="46">
        <v>35.200000000000003</v>
      </c>
      <c r="D11" s="46">
        <v>21.3</v>
      </c>
      <c r="E11" s="46">
        <v>43</v>
      </c>
      <c r="F11" s="46">
        <v>21.3</v>
      </c>
    </row>
    <row r="12" spans="1:7" x14ac:dyDescent="0.3">
      <c r="A12" s="46" t="s">
        <v>14</v>
      </c>
      <c r="B12" s="46">
        <v>18.399999999999999</v>
      </c>
      <c r="C12" s="46">
        <v>55.6</v>
      </c>
      <c r="D12" s="46">
        <v>33.799999999999997</v>
      </c>
      <c r="E12" s="46">
        <v>67.900000000000006</v>
      </c>
      <c r="F12" s="46">
        <v>33.799999999999997</v>
      </c>
    </row>
    <row r="13" spans="1:7" x14ac:dyDescent="0.3">
      <c r="A13" s="46" t="s">
        <v>15</v>
      </c>
      <c r="B13" s="46">
        <v>0</v>
      </c>
      <c r="C13" s="46">
        <v>0</v>
      </c>
      <c r="D13" s="46">
        <v>0</v>
      </c>
      <c r="E13" s="46">
        <v>0</v>
      </c>
      <c r="F13" s="46">
        <v>0</v>
      </c>
    </row>
    <row r="14" spans="1:7" x14ac:dyDescent="0.3">
      <c r="A14" s="46" t="s">
        <v>16</v>
      </c>
      <c r="B14" s="46">
        <v>21.9</v>
      </c>
      <c r="C14" s="46">
        <v>61.5</v>
      </c>
      <c r="D14" s="46">
        <v>40.1</v>
      </c>
      <c r="E14" s="46">
        <v>76.599999999999994</v>
      </c>
      <c r="F14" s="46">
        <v>40.1</v>
      </c>
    </row>
    <row r="15" spans="1:7" x14ac:dyDescent="0.3">
      <c r="A15" s="46" t="s">
        <v>18</v>
      </c>
      <c r="B15" s="46">
        <v>26.8</v>
      </c>
      <c r="C15" s="46">
        <v>79.599999999999994</v>
      </c>
      <c r="D15" s="46">
        <v>47.9</v>
      </c>
      <c r="E15" s="46">
        <v>96.8</v>
      </c>
      <c r="F15" s="46">
        <v>47.9</v>
      </c>
    </row>
    <row r="16" spans="1:7" x14ac:dyDescent="0.3">
      <c r="A16" s="46" t="s">
        <v>20</v>
      </c>
      <c r="B16" s="46">
        <v>28.5</v>
      </c>
      <c r="C16" s="46">
        <v>85.4</v>
      </c>
      <c r="D16" s="46">
        <v>52.3</v>
      </c>
      <c r="E16" s="46">
        <v>106.1</v>
      </c>
      <c r="F16" s="46">
        <v>52.3</v>
      </c>
    </row>
    <row r="17" spans="1:6" x14ac:dyDescent="0.3">
      <c r="A17" s="46" t="s">
        <v>22</v>
      </c>
      <c r="B17" s="46">
        <v>30.7</v>
      </c>
      <c r="C17" s="46">
        <v>92.1</v>
      </c>
      <c r="D17" s="46">
        <v>57</v>
      </c>
      <c r="E17" s="46">
        <v>115.1</v>
      </c>
      <c r="F17" s="46">
        <v>57</v>
      </c>
    </row>
    <row r="18" spans="1:6" x14ac:dyDescent="0.3">
      <c r="A18" s="46" t="s">
        <v>23</v>
      </c>
      <c r="B18" s="46">
        <v>33.799999999999997</v>
      </c>
      <c r="C18" s="46">
        <v>101.3</v>
      </c>
      <c r="D18" s="46">
        <v>61.4</v>
      </c>
      <c r="E18" s="46">
        <v>124.4</v>
      </c>
      <c r="F18" s="46">
        <v>61.4</v>
      </c>
    </row>
    <row r="19" spans="1:6" x14ac:dyDescent="0.3">
      <c r="A19" s="46" t="s">
        <v>24</v>
      </c>
      <c r="B19" s="46">
        <v>34.700000000000003</v>
      </c>
      <c r="C19" s="46">
        <v>106.1</v>
      </c>
      <c r="D19" s="46">
        <v>63.6</v>
      </c>
      <c r="E19" s="46">
        <v>128.6</v>
      </c>
      <c r="F19" s="46">
        <v>63.6</v>
      </c>
    </row>
    <row r="20" spans="1:6" x14ac:dyDescent="0.3">
      <c r="A20" s="46" t="s">
        <v>28</v>
      </c>
      <c r="B20" s="46">
        <v>0</v>
      </c>
      <c r="C20" s="46">
        <v>0</v>
      </c>
      <c r="D20" s="46">
        <v>0</v>
      </c>
      <c r="E20" s="46">
        <v>0</v>
      </c>
      <c r="F20" s="46">
        <v>0</v>
      </c>
    </row>
    <row r="21" spans="1:6" x14ac:dyDescent="0.3">
      <c r="A21" s="46" t="s">
        <v>176</v>
      </c>
      <c r="B21" s="46">
        <v>41.3</v>
      </c>
      <c r="C21" s="46">
        <v>124.4</v>
      </c>
      <c r="D21" s="46">
        <v>75</v>
      </c>
      <c r="E21" s="46">
        <v>151.5</v>
      </c>
      <c r="F21" s="46">
        <v>75</v>
      </c>
    </row>
    <row r="22" spans="1:6" x14ac:dyDescent="0.3">
      <c r="A22" s="46" t="s">
        <v>177</v>
      </c>
      <c r="B22" s="46">
        <v>-1</v>
      </c>
      <c r="C22" s="46">
        <v>-1</v>
      </c>
      <c r="D22" s="46">
        <v>-1</v>
      </c>
      <c r="E22" s="46">
        <v>-1</v>
      </c>
      <c r="F22" s="46">
        <v>-1</v>
      </c>
    </row>
    <row r="23" spans="1:6" x14ac:dyDescent="0.3">
      <c r="A23" s="46" t="s">
        <v>31</v>
      </c>
      <c r="B23" s="46">
        <v>45</v>
      </c>
      <c r="C23" s="46">
        <v>133.4</v>
      </c>
      <c r="D23" s="46">
        <v>79.400000000000006</v>
      </c>
      <c r="E23" s="46">
        <v>160.9</v>
      </c>
      <c r="F23" s="46">
        <v>79.400000000000006</v>
      </c>
    </row>
    <row r="24" spans="1:6" x14ac:dyDescent="0.3">
      <c r="A24" s="46" t="s">
        <v>32</v>
      </c>
      <c r="B24" s="46">
        <v>-1</v>
      </c>
      <c r="C24" s="46">
        <v>-1</v>
      </c>
      <c r="D24" s="46">
        <v>-1</v>
      </c>
      <c r="E24" s="46">
        <v>-1</v>
      </c>
      <c r="F24" s="46">
        <v>-1</v>
      </c>
    </row>
    <row r="25" spans="1:6" x14ac:dyDescent="0.3">
      <c r="A25" s="46" t="s">
        <v>34</v>
      </c>
      <c r="B25" s="46">
        <v>43.3</v>
      </c>
      <c r="C25" s="46">
        <v>128.6</v>
      </c>
      <c r="D25" s="46">
        <v>79.400000000000006</v>
      </c>
      <c r="E25" s="46">
        <v>160.9</v>
      </c>
      <c r="F25" s="46">
        <v>79.400000000000006</v>
      </c>
    </row>
    <row r="26" spans="1:6" x14ac:dyDescent="0.3">
      <c r="A26" s="46" t="s">
        <v>37</v>
      </c>
      <c r="B26" s="46">
        <v>49.1</v>
      </c>
      <c r="C26" s="46">
        <v>146.80000000000001</v>
      </c>
      <c r="D26" s="46">
        <v>90.9</v>
      </c>
      <c r="E26" s="46">
        <v>183.5</v>
      </c>
      <c r="F26" s="46">
        <v>90.9</v>
      </c>
    </row>
    <row r="27" spans="1:6" x14ac:dyDescent="0.3">
      <c r="A27" s="46" t="s">
        <v>39</v>
      </c>
      <c r="B27" s="46">
        <v>51.8</v>
      </c>
      <c r="C27" s="46">
        <v>156.4</v>
      </c>
      <c r="D27" s="46">
        <v>93.1</v>
      </c>
      <c r="E27" s="46">
        <v>188.1</v>
      </c>
      <c r="F27" s="46">
        <v>93.1</v>
      </c>
    </row>
    <row r="28" spans="1:6" ht="14.5" x14ac:dyDescent="0.3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" zoomScaleNormal="100" workbookViewId="0">
      <selection activeCell="H13" sqref="H13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172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2" t="s">
        <v>53</v>
      </c>
      <c r="B5" s="39"/>
    </row>
    <row r="6" spans="1:10" ht="18.5" x14ac:dyDescent="0.45">
      <c r="A6" s="42" t="s">
        <v>152</v>
      </c>
      <c r="B6" s="39"/>
    </row>
    <row r="7" spans="1:10" ht="18.5" x14ac:dyDescent="0.45">
      <c r="A7" s="42"/>
      <c r="B7" s="39"/>
    </row>
    <row r="9" spans="1:10" ht="23.5" x14ac:dyDescent="0.55000000000000004">
      <c r="A9" s="17" t="s">
        <v>164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161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120</v>
      </c>
      <c r="B16" s="7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121</v>
      </c>
      <c r="B17" s="7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122</v>
      </c>
      <c r="B18" s="7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123</v>
      </c>
      <c r="B19" s="7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124</v>
      </c>
      <c r="B20" s="7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125</v>
      </c>
      <c r="B21" s="7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126</v>
      </c>
      <c r="B22" s="7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127</v>
      </c>
      <c r="B23" s="7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128</v>
      </c>
      <c r="B24" s="7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129</v>
      </c>
      <c r="B25" s="7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130</v>
      </c>
      <c r="B26" s="7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131</v>
      </c>
      <c r="B27" s="7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132</v>
      </c>
      <c r="B28" s="7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133</v>
      </c>
      <c r="B29" s="7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134</v>
      </c>
      <c r="B30" s="7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135</v>
      </c>
      <c r="B31" s="7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136</v>
      </c>
      <c r="B32" s="7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137</v>
      </c>
      <c r="B33" s="7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138</v>
      </c>
      <c r="B34" s="7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139</v>
      </c>
      <c r="B35" s="7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140</v>
      </c>
      <c r="B36" s="7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141</v>
      </c>
      <c r="B37" s="7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142</v>
      </c>
      <c r="B38" s="7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143</v>
      </c>
      <c r="B39" s="7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144</v>
      </c>
      <c r="B40" s="7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145</v>
      </c>
      <c r="B41" s="7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146</v>
      </c>
      <c r="B42" s="7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147</v>
      </c>
      <c r="B43" s="7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148</v>
      </c>
      <c r="B44" s="7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149</v>
      </c>
      <c r="B45" s="7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111</v>
      </c>
      <c r="B46" s="7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112</v>
      </c>
      <c r="B47" s="7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113</v>
      </c>
      <c r="B48" s="7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114</v>
      </c>
      <c r="B49" s="7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115</v>
      </c>
      <c r="B50" s="7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116</v>
      </c>
      <c r="B51" s="7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117</v>
      </c>
      <c r="B52" s="7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118</v>
      </c>
      <c r="B53" s="7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119</v>
      </c>
      <c r="B54" s="8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F22"/>
  <sheetViews>
    <sheetView topLeftCell="A6" zoomScaleNormal="100" workbookViewId="0">
      <selection activeCell="F17" sqref="F17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165</v>
      </c>
    </row>
    <row r="2" spans="1:3" ht="18.5" x14ac:dyDescent="0.45">
      <c r="B2" s="39" t="s">
        <v>178</v>
      </c>
    </row>
    <row r="5" spans="1:3" ht="14.5" x14ac:dyDescent="0.35">
      <c r="B5" s="1" t="s">
        <v>150</v>
      </c>
    </row>
    <row r="6" spans="1:3" ht="14.5" x14ac:dyDescent="0.35">
      <c r="A6" s="3" t="s">
        <v>53</v>
      </c>
      <c r="B6" s="1"/>
    </row>
    <row r="7" spans="1:3" ht="14.5" x14ac:dyDescent="0.35">
      <c r="A7" s="3" t="s">
        <v>152</v>
      </c>
      <c r="B7" s="1"/>
    </row>
    <row r="10" spans="1:3" ht="23.5" x14ac:dyDescent="0.55000000000000004">
      <c r="A10" s="17" t="s">
        <v>161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>
        <v>20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>
        <v>20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6" ht="14.5" x14ac:dyDescent="0.35">
      <c r="A17" s="31">
        <v>44932</v>
      </c>
      <c r="B17" s="16" t="s">
        <v>153</v>
      </c>
      <c r="C17" s="16">
        <v>150</v>
      </c>
      <c r="F17" s="2">
        <f>SUM(C12:C21)</f>
        <v>600</v>
      </c>
    </row>
    <row r="18" spans="1:6" ht="14.5" x14ac:dyDescent="0.35">
      <c r="A18" s="31">
        <v>44933</v>
      </c>
      <c r="B18" s="16" t="s">
        <v>154</v>
      </c>
      <c r="C18" s="16">
        <v>80</v>
      </c>
    </row>
    <row r="19" spans="1:6" ht="14.5" x14ac:dyDescent="0.35">
      <c r="A19" s="31">
        <v>44934</v>
      </c>
      <c r="B19" s="16" t="s">
        <v>155</v>
      </c>
      <c r="C19" s="16">
        <v>20</v>
      </c>
    </row>
    <row r="20" spans="1:6" ht="14.5" x14ac:dyDescent="0.35">
      <c r="A20" s="31">
        <v>44935</v>
      </c>
      <c r="B20" s="16" t="s">
        <v>156</v>
      </c>
      <c r="C20" s="16">
        <v>30</v>
      </c>
    </row>
    <row r="21" spans="1:6" ht="14.5" x14ac:dyDescent="0.35">
      <c r="A21" s="31">
        <v>44936</v>
      </c>
      <c r="B21" s="16" t="s">
        <v>157</v>
      </c>
      <c r="C21" s="16">
        <v>20</v>
      </c>
    </row>
    <row r="22" spans="1:6" ht="14.5" x14ac:dyDescent="0.35">
      <c r="B22" s="16" t="s">
        <v>158</v>
      </c>
      <c r="C22" s="24" cm="1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24" sqref="C24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173</v>
      </c>
    </row>
    <row r="3" spans="1:14" ht="14.5" x14ac:dyDescent="0.35">
      <c r="B3" s="1" t="s">
        <v>150</v>
      </c>
    </row>
    <row r="4" spans="1:14" ht="18.5" x14ac:dyDescent="0.45">
      <c r="A4" s="42" t="s">
        <v>53</v>
      </c>
      <c r="B4" s="1"/>
    </row>
    <row r="5" spans="1:14" ht="18.5" x14ac:dyDescent="0.45">
      <c r="A5" s="42" t="s">
        <v>152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161</v>
      </c>
      <c r="M8" s="17" t="s">
        <v>162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166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 t="str">
        <f>IFERROR(INDEX($A$9:$J$18, MATCH(VLOOKUP(A23, $M$9:$N$18, 2, FALSE), $M$9:$M$18, 0), MATCH(VLOOKUP(B23, $M$9:$N$18, 2, FALSE), $M$9:$M$18, 0)), "Not Found")</f>
        <v>Not Found</v>
      </c>
    </row>
    <row r="24" spans="1:14" ht="14.5" x14ac:dyDescent="0.35">
      <c r="A24" s="7">
        <v>10100</v>
      </c>
      <c r="B24" s="11">
        <v>10104</v>
      </c>
      <c r="C24" s="43" t="str">
        <f t="shared" ref="C24:C35" si="0">IFERROR(INDEX($A$9:$J$18, MATCH(VLOOKUP(A24, $M$9:$N$18, 2, FALSE), $M$9:$M$18, 0), MATCH(VLOOKUP(B24, $M$9:$N$18, 2, FALSE), $M$9:$N$18, 0)), "Not Found")</f>
        <v>Not Found</v>
      </c>
    </row>
    <row r="25" spans="1:14" ht="14.5" x14ac:dyDescent="0.35">
      <c r="A25" s="7">
        <v>10108</v>
      </c>
      <c r="B25" s="11">
        <v>10102</v>
      </c>
      <c r="C25" s="43" t="str">
        <f t="shared" si="0"/>
        <v>Not Found</v>
      </c>
    </row>
    <row r="26" spans="1:14" ht="14.5" x14ac:dyDescent="0.35">
      <c r="A26" s="7">
        <v>10100</v>
      </c>
      <c r="B26" s="11">
        <v>10106</v>
      </c>
      <c r="C26" s="43" t="str">
        <f t="shared" si="0"/>
        <v>Not Found</v>
      </c>
    </row>
    <row r="27" spans="1:14" ht="14.5" x14ac:dyDescent="0.35">
      <c r="A27" s="7">
        <v>10108</v>
      </c>
      <c r="B27" s="11">
        <v>10110</v>
      </c>
      <c r="C27" s="43" t="str">
        <f t="shared" si="0"/>
        <v>Not Found</v>
      </c>
    </row>
    <row r="28" spans="1:14" ht="14.5" x14ac:dyDescent="0.35">
      <c r="A28" s="7">
        <v>10102</v>
      </c>
      <c r="B28" s="11">
        <v>10104</v>
      </c>
      <c r="C28" s="43" t="str">
        <f t="shared" si="0"/>
        <v>Not Found</v>
      </c>
    </row>
    <row r="29" spans="1:14" ht="14.5" x14ac:dyDescent="0.35">
      <c r="A29" s="7">
        <v>10106</v>
      </c>
      <c r="B29" s="11">
        <v>10108</v>
      </c>
      <c r="C29" s="43" t="str">
        <f t="shared" si="0"/>
        <v>Not Found</v>
      </c>
    </row>
    <row r="30" spans="1:14" ht="14.5" x14ac:dyDescent="0.35">
      <c r="A30" s="7">
        <v>10102</v>
      </c>
      <c r="B30" s="11">
        <v>10106</v>
      </c>
      <c r="C30" s="43" t="str">
        <f t="shared" si="0"/>
        <v>Not Found</v>
      </c>
    </row>
    <row r="31" spans="1:14" ht="14.5" x14ac:dyDescent="0.35">
      <c r="A31" s="7">
        <v>10110</v>
      </c>
      <c r="B31" s="11">
        <v>10114</v>
      </c>
      <c r="C31" s="43" t="str">
        <f t="shared" si="0"/>
        <v>Not Found</v>
      </c>
    </row>
    <row r="32" spans="1:14" ht="14.5" x14ac:dyDescent="0.35">
      <c r="A32" s="7">
        <v>10104</v>
      </c>
      <c r="B32" s="11">
        <v>10106</v>
      </c>
      <c r="C32" s="43" t="str">
        <f t="shared" si="0"/>
        <v>Not Found</v>
      </c>
    </row>
    <row r="33" spans="1:3" ht="14.5" x14ac:dyDescent="0.35">
      <c r="A33" s="7">
        <v>10110</v>
      </c>
      <c r="B33" s="11">
        <v>10112</v>
      </c>
      <c r="C33" s="43" t="str">
        <f t="shared" si="0"/>
        <v>Not Found</v>
      </c>
    </row>
    <row r="34" spans="1:3" ht="14.5" x14ac:dyDescent="0.35">
      <c r="A34" s="7">
        <v>10100</v>
      </c>
      <c r="B34" s="11">
        <v>10114</v>
      </c>
      <c r="C34" s="43" t="str">
        <f t="shared" si="0"/>
        <v>Not Found</v>
      </c>
    </row>
    <row r="35" spans="1:3" ht="14.5" x14ac:dyDescent="0.35">
      <c r="A35" s="8">
        <v>10112</v>
      </c>
      <c r="B35" s="12">
        <v>10116</v>
      </c>
      <c r="C35" s="43" t="str">
        <f t="shared" si="0"/>
        <v>Not Found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GULAM HYDER ALI HASMEY</cp:lastModifiedBy>
  <dcterms:created xsi:type="dcterms:W3CDTF">2015-02-10T17:33:11Z</dcterms:created>
  <dcterms:modified xsi:type="dcterms:W3CDTF">2024-10-21T12:18:04Z</dcterms:modified>
</cp:coreProperties>
</file>